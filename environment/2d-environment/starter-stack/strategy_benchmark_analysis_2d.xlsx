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.sidib/Code/ENG5325-Robotics-TDP-M-Team-14/Cyberphysical-RoboCup-Soccer-Teams/environment/2d-environment/starter-stack/"/>
    </mc:Choice>
  </mc:AlternateContent>
  <xr:revisionPtr revIDLastSave="0" documentId="13_ncr:1_{A3F91A4B-B77D-DA4A-9D14-E18F8DF94339}" xr6:coauthVersionLast="47" xr6:coauthVersionMax="47" xr10:uidLastSave="{00000000-0000-0000-0000-000000000000}"/>
  <bookViews>
    <workbookView xWindow="0" yWindow="740" windowWidth="30240" windowHeight="18900" activeTab="1" xr2:uid="{5BADAF71-6070-6942-999C-7247CF5927ED}"/>
  </bookViews>
  <sheets>
    <sheet name="Sheet1" sheetId="1" r:id="rId1"/>
    <sheet name="Sheet2" sheetId="2" r:id="rId2"/>
  </sheets>
  <definedNames>
    <definedName name="strategy_benchmark_results" localSheetId="0">Sheet1!$A$1:$F$51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C3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B4" i="2" s="1"/>
  <c r="B6" i="2" l="1"/>
  <c r="C6" i="2"/>
  <c r="B5" i="2"/>
  <c r="C2" i="2"/>
  <c r="C5" i="2"/>
  <c r="C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9E7A2E-26B8-2B46-9F59-2912F431041C}" name="strategy_benchmark_results" type="6" refreshedVersion="8" background="1" saveData="1">
    <textPr codePage="10000" sourceFile="/Users/nathan.sidib/Code/ENG5325-Robotics-TDP-M-Team-14/Cyberphysical-RoboCup-Soccer-Teams/environment/2d-environment/starter-stack/strategy_benchmark_results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<sst xmlns="http://schemas.openxmlformats.org/spreadsheetml/2006/main" count="216" uniqueCount="72">
  <si>
    <t>pair_id</t>
  </si>
  <si>
    <t>left_team</t>
  </si>
  <si>
    <t>right_team</t>
  </si>
  <si>
    <t>left_goals</t>
  </si>
  <si>
    <t>right_goals</t>
  </si>
  <si>
    <t>timestamp</t>
  </si>
  <si>
    <t>BASIC_NOISE</t>
  </si>
  <si>
    <t>BASIC</t>
  </si>
  <si>
    <t>NOISE</t>
  </si>
  <si>
    <t>2026-01-19T23:59:21Z</t>
  </si>
  <si>
    <t>2026-01-20T00:04:28Z</t>
  </si>
  <si>
    <t>2026-01-20T00:09:35Z</t>
  </si>
  <si>
    <t>2026-01-20T00:14:42Z</t>
  </si>
  <si>
    <t>2026-01-20T00:19:49Z</t>
  </si>
  <si>
    <t>2026-01-20T00:24:56Z</t>
  </si>
  <si>
    <t>2026-01-20T00:30:03Z</t>
  </si>
  <si>
    <t>2026-01-20T00:35:11Z</t>
  </si>
  <si>
    <t>2026-01-20T00:40:18Z</t>
  </si>
  <si>
    <t>2026-01-20T00:45:26Z</t>
  </si>
  <si>
    <t>BASIC_DEFLOCK</t>
  </si>
  <si>
    <t>DEFLOCK</t>
  </si>
  <si>
    <t>2026-01-20T00:50:33Z</t>
  </si>
  <si>
    <t>2026-01-20T00:55:40Z</t>
  </si>
  <si>
    <t>2026-01-20T01:00:47Z</t>
  </si>
  <si>
    <t>2026-01-20T01:05:55Z</t>
  </si>
  <si>
    <t>2026-01-20T01:11:02Z</t>
  </si>
  <si>
    <t>2026-01-20T01:16:10Z</t>
  </si>
  <si>
    <t>2026-01-20T01:21:17Z</t>
  </si>
  <si>
    <t>2026-01-20T01:26:24Z</t>
  </si>
  <si>
    <t>2026-01-20T01:31:31Z</t>
  </si>
  <si>
    <t>2026-01-20T01:36:38Z</t>
  </si>
  <si>
    <t>BASIC_HIPRESS</t>
  </si>
  <si>
    <t>HIPRESS</t>
  </si>
  <si>
    <t>2026-01-20T01:41:45Z</t>
  </si>
  <si>
    <t>2026-01-20T01:46:52Z</t>
  </si>
  <si>
    <t>2026-01-20T01:51:59Z</t>
  </si>
  <si>
    <t>2026-01-20T01:57:07Z</t>
  </si>
  <si>
    <t>2026-01-20T02:02:15Z</t>
  </si>
  <si>
    <t>2026-01-20T02:07:23Z</t>
  </si>
  <si>
    <t>2026-01-20T02:12:30Z</t>
  </si>
  <si>
    <t>2026-01-20T02:17:37Z</t>
  </si>
  <si>
    <t>2026-01-20T02:22:46Z</t>
  </si>
  <si>
    <t>2026-01-20T02:27:53Z</t>
  </si>
  <si>
    <t>BASIC_DIRECT</t>
  </si>
  <si>
    <t>DIRECT</t>
  </si>
  <si>
    <t>2026-01-20T02:33:00Z</t>
  </si>
  <si>
    <t>2026-01-20T02:38:07Z</t>
  </si>
  <si>
    <t>2026-01-20T02:43:14Z</t>
  </si>
  <si>
    <t>2026-01-20T02:48:21Z</t>
  </si>
  <si>
    <t>2026-01-20T02:53:28Z</t>
  </si>
  <si>
    <t>2026-01-20T02:58:37Z</t>
  </si>
  <si>
    <t>2026-01-20T03:03:44Z</t>
  </si>
  <si>
    <t>2026-01-20T03:08:51Z</t>
  </si>
  <si>
    <t>2026-01-20T03:13:58Z</t>
  </si>
  <si>
    <t>2026-01-20T03:19:05Z</t>
  </si>
  <si>
    <t>BASIC_AGGRO</t>
  </si>
  <si>
    <t>AGGRO</t>
  </si>
  <si>
    <t>2026-01-20T03:24:12Z</t>
  </si>
  <si>
    <t>2026-01-20T03:29:19Z</t>
  </si>
  <si>
    <t>2026-01-20T03:34:26Z</t>
  </si>
  <si>
    <t>2026-01-20T03:39:33Z</t>
  </si>
  <si>
    <t>2026-01-20T03:44:40Z</t>
  </si>
  <si>
    <t>2026-01-20T03:49:47Z</t>
  </si>
  <si>
    <t>2026-01-20T03:54:54Z</t>
  </si>
  <si>
    <t>2026-01-20T04:00:01Z</t>
  </si>
  <si>
    <t>2026-01-20T04:05:08Z</t>
  </si>
  <si>
    <t>2026-01-20T04:10:15Z</t>
  </si>
  <si>
    <t>strategy</t>
  </si>
  <si>
    <t>win_vs_basic</t>
  </si>
  <si>
    <t>Strategy</t>
  </si>
  <si>
    <t>Win rate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</si>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</sst>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0"/>
              <a:t>Win rate of evaluated strategies against the BASIC/NOISE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5"/>
                <c:pt idx="0">
                  <c:v>NOISE</c:v>
                </c:pt>
                <c:pt idx="1">
                  <c:v>DEFLOCK</c:v>
                </c:pt>
                <c:pt idx="2">
                  <c:v>HIPRESS</c:v>
                </c:pt>
                <c:pt idx="3">
                  <c:v>DIRECT</c:v>
                </c:pt>
                <c:pt idx="4">
                  <c:v>AGGRO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0.3</c:v>
                </c:pt>
                <c:pt idx="3">
                  <c:v>0.2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0-D94A-AD15-D9D5544E3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536432"/>
        <c:axId val="1683053183"/>
      </c:barChart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Sheet2!$C$2:$C$6</c:f>
              <c:numCache>
                <c:formatCode>General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0-D94A-AD15-D9D5544E3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536432"/>
        <c:axId val="1683053183"/>
      </c:lineChart>
      <c:catAx>
        <c:axId val="67253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Strategy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053183"/>
        <c:crosses val="autoZero"/>
        <c:auto val="1"/>
        <c:lblAlgn val="ctr"/>
        <c:lblOffset val="100"/>
        <c:noMultiLvlLbl val="0"/>
      </c:catAx>
      <c:valAx>
        <c:axId val="168305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3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1</xdr:row>
      <xdr:rowOff>6350</xdr:rowOff>
    </xdr:from>
    <xdr:to>
      <xdr:col>17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9063A-7D9D-9A24-0002-FDF2EE782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rategy_benchmark_results" connectionId="1" xr16:uid="{7F15EC13-AC26-AE48-A48B-0D89F55A287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EB4D-E2F2-BB41-8E77-4EA19FB2E8F4}">
  <dimension ref="A1:H51"/>
  <sheetViews>
    <sheetView zoomScale="75" workbookViewId="0">
      <selection activeCell="P13" sqref="P13"/>
    </sheetView>
  </sheetViews>
  <sheetFormatPr baseColWidth="10" defaultRowHeight="16" x14ac:dyDescent="0.2"/>
  <cols>
    <col min="1" max="1" width="15.5" bestFit="1" customWidth="1"/>
    <col min="2" max="2" width="9.5" bestFit="1" customWidth="1"/>
    <col min="3" max="3" width="10.1640625" bestFit="1" customWidth="1"/>
    <col min="4" max="4" width="9.33203125" bestFit="1" customWidth="1"/>
    <col min="5" max="5" width="10.33203125" bestFit="1" customWidth="1"/>
    <col min="6" max="6" width="21.33203125" bestFit="1" customWidth="1"/>
    <col min="7" max="7" width="9.5" bestFit="1" customWidth="1"/>
    <col min="8" max="8" width="12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</row>
    <row r="2" spans="1:8" x14ac:dyDescent="0.2">
      <c r="A2" t="s">
        <v>6</v>
      </c>
      <c r="B2" t="s">
        <v>7</v>
      </c>
      <c r="C2" t="s">
        <v>8</v>
      </c>
      <c r="D2" s="1">
        <v>1</v>
      </c>
      <c r="E2" s="1">
        <v>0</v>
      </c>
      <c r="F2" t="s">
        <v>9</v>
      </c>
      <c r="G2" t="str">
        <f>IF(B2&lt;&gt;"BASIC", B2, IF(C2&lt;&gt;"BASIC", C2, "NOISE"))</f>
        <v>NOISE</v>
      </c>
      <c r="H2">
        <f>IF(B2="BASIC", IF(D2&lt;E2,1,0), IF(C2="BASIC", IF(E2&lt;D2,1,0), ""))</f>
        <v>0</v>
      </c>
    </row>
    <row r="3" spans="1:8" x14ac:dyDescent="0.2">
      <c r="A3" t="s">
        <v>6</v>
      </c>
      <c r="B3" t="s">
        <v>7</v>
      </c>
      <c r="C3" t="s">
        <v>8</v>
      </c>
      <c r="D3" s="1">
        <v>1</v>
      </c>
      <c r="E3" s="1">
        <v>0</v>
      </c>
      <c r="F3" t="s">
        <v>10</v>
      </c>
      <c r="G3" t="str">
        <f t="shared" ref="G3:G51" si="0">IF(B3&lt;&gt;"BASIC", B3, IF(C3&lt;&gt;"BASIC", C3, "NOISE"))</f>
        <v>NOISE</v>
      </c>
      <c r="H3">
        <f t="shared" ref="H3:H51" si="1">IF(B3="BASIC", IF(D3&lt;E3,1,0), IF(C3="BASIC", IF(E3&lt;D3,1,0), ""))</f>
        <v>0</v>
      </c>
    </row>
    <row r="4" spans="1:8" x14ac:dyDescent="0.2">
      <c r="A4" t="s">
        <v>6</v>
      </c>
      <c r="B4" t="s">
        <v>7</v>
      </c>
      <c r="C4" t="s">
        <v>8</v>
      </c>
      <c r="D4" s="1">
        <v>0</v>
      </c>
      <c r="E4" s="1">
        <v>0</v>
      </c>
      <c r="F4" t="s">
        <v>11</v>
      </c>
      <c r="G4" t="str">
        <f t="shared" si="0"/>
        <v>NOISE</v>
      </c>
      <c r="H4">
        <f t="shared" si="1"/>
        <v>0</v>
      </c>
    </row>
    <row r="5" spans="1:8" x14ac:dyDescent="0.2">
      <c r="A5" t="s">
        <v>6</v>
      </c>
      <c r="B5" t="s">
        <v>7</v>
      </c>
      <c r="C5" t="s">
        <v>8</v>
      </c>
      <c r="D5" s="1">
        <v>0</v>
      </c>
      <c r="E5" s="1">
        <v>0</v>
      </c>
      <c r="F5" t="s">
        <v>12</v>
      </c>
      <c r="G5" t="str">
        <f t="shared" si="0"/>
        <v>NOISE</v>
      </c>
      <c r="H5">
        <f t="shared" si="1"/>
        <v>0</v>
      </c>
    </row>
    <row r="6" spans="1:8" x14ac:dyDescent="0.2">
      <c r="A6" t="s">
        <v>6</v>
      </c>
      <c r="B6" t="s">
        <v>7</v>
      </c>
      <c r="C6" t="s">
        <v>8</v>
      </c>
      <c r="D6" s="1">
        <v>0</v>
      </c>
      <c r="E6" s="1">
        <v>0</v>
      </c>
      <c r="F6" t="s">
        <v>13</v>
      </c>
      <c r="G6" t="str">
        <f t="shared" si="0"/>
        <v>NOISE</v>
      </c>
      <c r="H6">
        <f t="shared" si="1"/>
        <v>0</v>
      </c>
    </row>
    <row r="7" spans="1:8" x14ac:dyDescent="0.2">
      <c r="A7" t="s">
        <v>6</v>
      </c>
      <c r="B7" t="s">
        <v>8</v>
      </c>
      <c r="C7" t="s">
        <v>7</v>
      </c>
      <c r="D7" s="1">
        <v>0</v>
      </c>
      <c r="E7" s="1">
        <v>1</v>
      </c>
      <c r="F7" t="s">
        <v>14</v>
      </c>
      <c r="G7" t="str">
        <f t="shared" si="0"/>
        <v>NOISE</v>
      </c>
      <c r="H7">
        <f t="shared" si="1"/>
        <v>0</v>
      </c>
    </row>
    <row r="8" spans="1:8" x14ac:dyDescent="0.2">
      <c r="A8" t="s">
        <v>6</v>
      </c>
      <c r="B8" t="s">
        <v>8</v>
      </c>
      <c r="C8" t="s">
        <v>7</v>
      </c>
      <c r="D8" s="1">
        <v>1</v>
      </c>
      <c r="E8" s="1">
        <v>0</v>
      </c>
      <c r="F8" t="s">
        <v>15</v>
      </c>
      <c r="G8" t="str">
        <f t="shared" si="0"/>
        <v>NOISE</v>
      </c>
      <c r="H8">
        <f t="shared" si="1"/>
        <v>1</v>
      </c>
    </row>
    <row r="9" spans="1:8" x14ac:dyDescent="0.2">
      <c r="A9" t="s">
        <v>6</v>
      </c>
      <c r="B9" t="s">
        <v>8</v>
      </c>
      <c r="C9" t="s">
        <v>7</v>
      </c>
      <c r="D9" s="1">
        <v>0</v>
      </c>
      <c r="E9" s="1">
        <v>0</v>
      </c>
      <c r="F9" t="s">
        <v>16</v>
      </c>
      <c r="G9" t="str">
        <f t="shared" si="0"/>
        <v>NOISE</v>
      </c>
      <c r="H9">
        <f t="shared" si="1"/>
        <v>0</v>
      </c>
    </row>
    <row r="10" spans="1:8" x14ac:dyDescent="0.2">
      <c r="A10" t="s">
        <v>6</v>
      </c>
      <c r="B10" t="s">
        <v>8</v>
      </c>
      <c r="C10" t="s">
        <v>7</v>
      </c>
      <c r="D10" s="1">
        <v>0</v>
      </c>
      <c r="E10" s="1">
        <v>2</v>
      </c>
      <c r="F10" t="s">
        <v>17</v>
      </c>
      <c r="G10" t="str">
        <f t="shared" si="0"/>
        <v>NOISE</v>
      </c>
      <c r="H10">
        <f t="shared" si="1"/>
        <v>0</v>
      </c>
    </row>
    <row r="11" spans="1:8" x14ac:dyDescent="0.2">
      <c r="A11" t="s">
        <v>6</v>
      </c>
      <c r="B11" t="s">
        <v>8</v>
      </c>
      <c r="C11" t="s">
        <v>7</v>
      </c>
      <c r="D11" s="1">
        <v>1</v>
      </c>
      <c r="E11" s="1">
        <v>0</v>
      </c>
      <c r="F11" t="s">
        <v>18</v>
      </c>
      <c r="G11" t="str">
        <f t="shared" si="0"/>
        <v>NOISE</v>
      </c>
      <c r="H11">
        <f t="shared" si="1"/>
        <v>1</v>
      </c>
    </row>
    <row r="12" spans="1:8" x14ac:dyDescent="0.2">
      <c r="A12" t="s">
        <v>19</v>
      </c>
      <c r="B12" t="s">
        <v>7</v>
      </c>
      <c r="C12" t="s">
        <v>20</v>
      </c>
      <c r="D12" s="1">
        <v>2</v>
      </c>
      <c r="E12" s="1">
        <v>0</v>
      </c>
      <c r="F12" t="s">
        <v>21</v>
      </c>
      <c r="G12" t="str">
        <f t="shared" si="0"/>
        <v>DEFLOCK</v>
      </c>
      <c r="H12">
        <f t="shared" si="1"/>
        <v>0</v>
      </c>
    </row>
    <row r="13" spans="1:8" x14ac:dyDescent="0.2">
      <c r="A13" t="s">
        <v>19</v>
      </c>
      <c r="B13" t="s">
        <v>7</v>
      </c>
      <c r="C13" t="s">
        <v>20</v>
      </c>
      <c r="D13" s="1">
        <v>1</v>
      </c>
      <c r="E13" s="1">
        <v>0</v>
      </c>
      <c r="F13" t="s">
        <v>22</v>
      </c>
      <c r="G13" t="str">
        <f t="shared" si="0"/>
        <v>DEFLOCK</v>
      </c>
      <c r="H13">
        <f t="shared" si="1"/>
        <v>0</v>
      </c>
    </row>
    <row r="14" spans="1:8" x14ac:dyDescent="0.2">
      <c r="A14" t="s">
        <v>19</v>
      </c>
      <c r="B14" t="s">
        <v>7</v>
      </c>
      <c r="C14" t="s">
        <v>20</v>
      </c>
      <c r="D14" s="1">
        <v>2</v>
      </c>
      <c r="E14" s="1">
        <v>0</v>
      </c>
      <c r="F14" t="s">
        <v>23</v>
      </c>
      <c r="G14" t="str">
        <f t="shared" si="0"/>
        <v>DEFLOCK</v>
      </c>
      <c r="H14">
        <f t="shared" si="1"/>
        <v>0</v>
      </c>
    </row>
    <row r="15" spans="1:8" x14ac:dyDescent="0.2">
      <c r="A15" t="s">
        <v>19</v>
      </c>
      <c r="B15" t="s">
        <v>7</v>
      </c>
      <c r="C15" t="s">
        <v>20</v>
      </c>
      <c r="D15" s="1">
        <v>2</v>
      </c>
      <c r="E15" s="1">
        <v>2</v>
      </c>
      <c r="F15" t="s">
        <v>24</v>
      </c>
      <c r="G15" t="str">
        <f t="shared" si="0"/>
        <v>DEFLOCK</v>
      </c>
      <c r="H15">
        <f t="shared" si="1"/>
        <v>0</v>
      </c>
    </row>
    <row r="16" spans="1:8" x14ac:dyDescent="0.2">
      <c r="A16" t="s">
        <v>19</v>
      </c>
      <c r="B16" t="s">
        <v>7</v>
      </c>
      <c r="C16" t="s">
        <v>20</v>
      </c>
      <c r="D16" s="1">
        <v>3</v>
      </c>
      <c r="E16" s="1">
        <v>2</v>
      </c>
      <c r="F16" t="s">
        <v>25</v>
      </c>
      <c r="G16" t="str">
        <f t="shared" si="0"/>
        <v>DEFLOCK</v>
      </c>
      <c r="H16">
        <f t="shared" si="1"/>
        <v>0</v>
      </c>
    </row>
    <row r="17" spans="1:8" x14ac:dyDescent="0.2">
      <c r="A17" t="s">
        <v>19</v>
      </c>
      <c r="B17" t="s">
        <v>20</v>
      </c>
      <c r="C17" t="s">
        <v>7</v>
      </c>
      <c r="D17" s="1">
        <v>0</v>
      </c>
      <c r="E17" s="1">
        <v>2</v>
      </c>
      <c r="F17" t="s">
        <v>26</v>
      </c>
      <c r="G17" t="str">
        <f t="shared" si="0"/>
        <v>DEFLOCK</v>
      </c>
      <c r="H17">
        <f t="shared" si="1"/>
        <v>0</v>
      </c>
    </row>
    <row r="18" spans="1:8" x14ac:dyDescent="0.2">
      <c r="A18" t="s">
        <v>19</v>
      </c>
      <c r="B18" t="s">
        <v>20</v>
      </c>
      <c r="C18" t="s">
        <v>7</v>
      </c>
      <c r="D18" s="1">
        <v>0</v>
      </c>
      <c r="E18" s="1">
        <v>1</v>
      </c>
      <c r="F18" t="s">
        <v>27</v>
      </c>
      <c r="G18" t="str">
        <f t="shared" si="0"/>
        <v>DEFLOCK</v>
      </c>
      <c r="H18">
        <f t="shared" si="1"/>
        <v>0</v>
      </c>
    </row>
    <row r="19" spans="1:8" x14ac:dyDescent="0.2">
      <c r="A19" t="s">
        <v>19</v>
      </c>
      <c r="B19" t="s">
        <v>20</v>
      </c>
      <c r="C19" t="s">
        <v>7</v>
      </c>
      <c r="D19" s="1">
        <v>0</v>
      </c>
      <c r="E19" s="1">
        <v>0</v>
      </c>
      <c r="F19" t="s">
        <v>28</v>
      </c>
      <c r="G19" t="str">
        <f t="shared" si="0"/>
        <v>DEFLOCK</v>
      </c>
      <c r="H19">
        <f t="shared" si="1"/>
        <v>0</v>
      </c>
    </row>
    <row r="20" spans="1:8" x14ac:dyDescent="0.2">
      <c r="A20" t="s">
        <v>19</v>
      </c>
      <c r="B20" t="s">
        <v>20</v>
      </c>
      <c r="C20" t="s">
        <v>7</v>
      </c>
      <c r="D20" s="1">
        <v>1</v>
      </c>
      <c r="E20" s="1">
        <v>0</v>
      </c>
      <c r="F20" t="s">
        <v>29</v>
      </c>
      <c r="G20" t="str">
        <f t="shared" si="0"/>
        <v>DEFLOCK</v>
      </c>
      <c r="H20">
        <f t="shared" si="1"/>
        <v>1</v>
      </c>
    </row>
    <row r="21" spans="1:8" x14ac:dyDescent="0.2">
      <c r="A21" t="s">
        <v>19</v>
      </c>
      <c r="B21" t="s">
        <v>20</v>
      </c>
      <c r="C21" t="s">
        <v>7</v>
      </c>
      <c r="D21" s="1">
        <v>0</v>
      </c>
      <c r="E21" s="1">
        <v>0</v>
      </c>
      <c r="F21" t="s">
        <v>30</v>
      </c>
      <c r="G21" t="str">
        <f t="shared" si="0"/>
        <v>DEFLOCK</v>
      </c>
      <c r="H21">
        <f t="shared" si="1"/>
        <v>0</v>
      </c>
    </row>
    <row r="22" spans="1:8" x14ac:dyDescent="0.2">
      <c r="A22" t="s">
        <v>31</v>
      </c>
      <c r="B22" t="s">
        <v>7</v>
      </c>
      <c r="C22" t="s">
        <v>32</v>
      </c>
      <c r="D22" s="1">
        <v>1</v>
      </c>
      <c r="E22" s="1">
        <v>0</v>
      </c>
      <c r="F22" t="s">
        <v>33</v>
      </c>
      <c r="G22" t="str">
        <f t="shared" si="0"/>
        <v>HIPRESS</v>
      </c>
      <c r="H22">
        <f t="shared" si="1"/>
        <v>0</v>
      </c>
    </row>
    <row r="23" spans="1:8" x14ac:dyDescent="0.2">
      <c r="A23" t="s">
        <v>31</v>
      </c>
      <c r="B23" t="s">
        <v>7</v>
      </c>
      <c r="C23" t="s">
        <v>32</v>
      </c>
      <c r="D23" s="1">
        <v>0</v>
      </c>
      <c r="E23" s="1">
        <v>1</v>
      </c>
      <c r="F23" t="s">
        <v>34</v>
      </c>
      <c r="G23" t="str">
        <f t="shared" si="0"/>
        <v>HIPRESS</v>
      </c>
      <c r="H23">
        <f t="shared" si="1"/>
        <v>1</v>
      </c>
    </row>
    <row r="24" spans="1:8" x14ac:dyDescent="0.2">
      <c r="A24" t="s">
        <v>31</v>
      </c>
      <c r="B24" t="s">
        <v>7</v>
      </c>
      <c r="C24" t="s">
        <v>32</v>
      </c>
      <c r="D24" s="1">
        <v>0</v>
      </c>
      <c r="E24" s="1">
        <v>0</v>
      </c>
      <c r="F24" t="s">
        <v>35</v>
      </c>
      <c r="G24" t="str">
        <f t="shared" si="0"/>
        <v>HIPRESS</v>
      </c>
      <c r="H24">
        <f t="shared" si="1"/>
        <v>0</v>
      </c>
    </row>
    <row r="25" spans="1:8" x14ac:dyDescent="0.2">
      <c r="A25" t="s">
        <v>31</v>
      </c>
      <c r="B25" t="s">
        <v>7</v>
      </c>
      <c r="C25" t="s">
        <v>32</v>
      </c>
      <c r="D25" s="1">
        <v>0</v>
      </c>
      <c r="E25" s="1">
        <v>1</v>
      </c>
      <c r="F25" t="s">
        <v>36</v>
      </c>
      <c r="G25" t="str">
        <f t="shared" si="0"/>
        <v>HIPRESS</v>
      </c>
      <c r="H25">
        <f t="shared" si="1"/>
        <v>1</v>
      </c>
    </row>
    <row r="26" spans="1:8" x14ac:dyDescent="0.2">
      <c r="A26" t="s">
        <v>31</v>
      </c>
      <c r="B26" t="s">
        <v>7</v>
      </c>
      <c r="C26" t="s">
        <v>32</v>
      </c>
      <c r="D26" s="1">
        <v>2</v>
      </c>
      <c r="E26" s="1">
        <v>1</v>
      </c>
      <c r="F26" t="s">
        <v>37</v>
      </c>
      <c r="G26" t="str">
        <f t="shared" si="0"/>
        <v>HIPRESS</v>
      </c>
      <c r="H26">
        <f t="shared" si="1"/>
        <v>0</v>
      </c>
    </row>
    <row r="27" spans="1:8" x14ac:dyDescent="0.2">
      <c r="A27" t="s">
        <v>31</v>
      </c>
      <c r="B27" t="s">
        <v>32</v>
      </c>
      <c r="C27" t="s">
        <v>7</v>
      </c>
      <c r="D27" s="1">
        <v>0</v>
      </c>
      <c r="E27" s="1">
        <v>1</v>
      </c>
      <c r="F27" t="s">
        <v>38</v>
      </c>
      <c r="G27" t="str">
        <f t="shared" si="0"/>
        <v>HIPRESS</v>
      </c>
      <c r="H27">
        <f t="shared" si="1"/>
        <v>0</v>
      </c>
    </row>
    <row r="28" spans="1:8" x14ac:dyDescent="0.2">
      <c r="A28" t="s">
        <v>31</v>
      </c>
      <c r="B28" t="s">
        <v>32</v>
      </c>
      <c r="C28" t="s">
        <v>7</v>
      </c>
      <c r="D28" s="1">
        <v>0</v>
      </c>
      <c r="E28" s="1">
        <v>2</v>
      </c>
      <c r="F28" t="s">
        <v>39</v>
      </c>
      <c r="G28" t="str">
        <f t="shared" si="0"/>
        <v>HIPRESS</v>
      </c>
      <c r="H28">
        <f t="shared" si="1"/>
        <v>0</v>
      </c>
    </row>
    <row r="29" spans="1:8" x14ac:dyDescent="0.2">
      <c r="A29" t="s">
        <v>31</v>
      </c>
      <c r="B29" t="s">
        <v>32</v>
      </c>
      <c r="C29" t="s">
        <v>7</v>
      </c>
      <c r="D29" s="1">
        <v>1</v>
      </c>
      <c r="E29" s="1">
        <v>0</v>
      </c>
      <c r="F29" t="s">
        <v>40</v>
      </c>
      <c r="G29" t="str">
        <f t="shared" si="0"/>
        <v>HIPRESS</v>
      </c>
      <c r="H29">
        <f t="shared" si="1"/>
        <v>1</v>
      </c>
    </row>
    <row r="30" spans="1:8" x14ac:dyDescent="0.2">
      <c r="A30" t="s">
        <v>31</v>
      </c>
      <c r="B30" t="s">
        <v>32</v>
      </c>
      <c r="C30" t="s">
        <v>7</v>
      </c>
      <c r="D30" s="1">
        <v>1</v>
      </c>
      <c r="E30" s="1">
        <v>2</v>
      </c>
      <c r="F30" t="s">
        <v>41</v>
      </c>
      <c r="G30" t="str">
        <f t="shared" si="0"/>
        <v>HIPRESS</v>
      </c>
      <c r="H30">
        <f t="shared" si="1"/>
        <v>0</v>
      </c>
    </row>
    <row r="31" spans="1:8" x14ac:dyDescent="0.2">
      <c r="A31" t="s">
        <v>31</v>
      </c>
      <c r="B31" t="s">
        <v>32</v>
      </c>
      <c r="C31" t="s">
        <v>7</v>
      </c>
      <c r="D31" s="1">
        <v>0</v>
      </c>
      <c r="E31" s="1">
        <v>0</v>
      </c>
      <c r="F31" t="s">
        <v>42</v>
      </c>
      <c r="G31" t="str">
        <f t="shared" si="0"/>
        <v>HIPRESS</v>
      </c>
      <c r="H31">
        <f t="shared" si="1"/>
        <v>0</v>
      </c>
    </row>
    <row r="32" spans="1:8" x14ac:dyDescent="0.2">
      <c r="A32" t="s">
        <v>43</v>
      </c>
      <c r="B32" t="s">
        <v>7</v>
      </c>
      <c r="C32" t="s">
        <v>44</v>
      </c>
      <c r="D32" s="1">
        <v>0</v>
      </c>
      <c r="E32" s="1">
        <v>1</v>
      </c>
      <c r="F32" t="s">
        <v>45</v>
      </c>
      <c r="G32" t="str">
        <f t="shared" si="0"/>
        <v>DIRECT</v>
      </c>
      <c r="H32">
        <f t="shared" si="1"/>
        <v>1</v>
      </c>
    </row>
    <row r="33" spans="1:8" x14ac:dyDescent="0.2">
      <c r="A33" t="s">
        <v>43</v>
      </c>
      <c r="B33" t="s">
        <v>7</v>
      </c>
      <c r="C33" t="s">
        <v>44</v>
      </c>
      <c r="D33" s="1">
        <v>0</v>
      </c>
      <c r="E33" s="1">
        <v>0</v>
      </c>
      <c r="F33" t="s">
        <v>46</v>
      </c>
      <c r="G33" t="str">
        <f t="shared" si="0"/>
        <v>DIRECT</v>
      </c>
      <c r="H33">
        <f t="shared" si="1"/>
        <v>0</v>
      </c>
    </row>
    <row r="34" spans="1:8" x14ac:dyDescent="0.2">
      <c r="A34" t="s">
        <v>43</v>
      </c>
      <c r="B34" t="s">
        <v>7</v>
      </c>
      <c r="C34" t="s">
        <v>44</v>
      </c>
      <c r="D34" s="1">
        <v>0</v>
      </c>
      <c r="E34" s="1">
        <v>0</v>
      </c>
      <c r="F34" t="s">
        <v>47</v>
      </c>
      <c r="G34" t="str">
        <f t="shared" si="0"/>
        <v>DIRECT</v>
      </c>
      <c r="H34">
        <f t="shared" si="1"/>
        <v>0</v>
      </c>
    </row>
    <row r="35" spans="1:8" x14ac:dyDescent="0.2">
      <c r="A35" t="s">
        <v>43</v>
      </c>
      <c r="B35" t="s">
        <v>7</v>
      </c>
      <c r="C35" t="s">
        <v>44</v>
      </c>
      <c r="D35" s="1">
        <v>0</v>
      </c>
      <c r="E35" s="1">
        <v>0</v>
      </c>
      <c r="F35" t="s">
        <v>48</v>
      </c>
      <c r="G35" t="str">
        <f t="shared" si="0"/>
        <v>DIRECT</v>
      </c>
      <c r="H35">
        <f t="shared" si="1"/>
        <v>0</v>
      </c>
    </row>
    <row r="36" spans="1:8" x14ac:dyDescent="0.2">
      <c r="A36" t="s">
        <v>43</v>
      </c>
      <c r="B36" t="s">
        <v>7</v>
      </c>
      <c r="C36" t="s">
        <v>44</v>
      </c>
      <c r="D36" s="1">
        <v>0</v>
      </c>
      <c r="E36" s="1">
        <v>0</v>
      </c>
      <c r="F36" t="s">
        <v>49</v>
      </c>
      <c r="G36" t="str">
        <f t="shared" si="0"/>
        <v>DIRECT</v>
      </c>
      <c r="H36">
        <f t="shared" si="1"/>
        <v>0</v>
      </c>
    </row>
    <row r="37" spans="1:8" x14ac:dyDescent="0.2">
      <c r="A37" t="s">
        <v>43</v>
      </c>
      <c r="B37" t="s">
        <v>44</v>
      </c>
      <c r="C37" t="s">
        <v>7</v>
      </c>
      <c r="D37" s="1">
        <v>0</v>
      </c>
      <c r="E37" s="1">
        <v>0</v>
      </c>
      <c r="F37" t="s">
        <v>50</v>
      </c>
      <c r="G37" t="str">
        <f t="shared" si="0"/>
        <v>DIRECT</v>
      </c>
      <c r="H37">
        <f t="shared" si="1"/>
        <v>0</v>
      </c>
    </row>
    <row r="38" spans="1:8" x14ac:dyDescent="0.2">
      <c r="A38" t="s">
        <v>43</v>
      </c>
      <c r="B38" t="s">
        <v>44</v>
      </c>
      <c r="C38" t="s">
        <v>7</v>
      </c>
      <c r="D38" s="1">
        <v>0</v>
      </c>
      <c r="E38" s="1">
        <v>0</v>
      </c>
      <c r="F38" t="s">
        <v>51</v>
      </c>
      <c r="G38" t="str">
        <f t="shared" si="0"/>
        <v>DIRECT</v>
      </c>
      <c r="H38">
        <f t="shared" si="1"/>
        <v>0</v>
      </c>
    </row>
    <row r="39" spans="1:8" x14ac:dyDescent="0.2">
      <c r="A39" t="s">
        <v>43</v>
      </c>
      <c r="B39" t="s">
        <v>44</v>
      </c>
      <c r="C39" t="s">
        <v>7</v>
      </c>
      <c r="D39" s="1">
        <v>0</v>
      </c>
      <c r="E39" s="1">
        <v>0</v>
      </c>
      <c r="F39" t="s">
        <v>52</v>
      </c>
      <c r="G39" t="str">
        <f t="shared" si="0"/>
        <v>DIRECT</v>
      </c>
      <c r="H39">
        <f t="shared" si="1"/>
        <v>0</v>
      </c>
    </row>
    <row r="40" spans="1:8" x14ac:dyDescent="0.2">
      <c r="A40" t="s">
        <v>43</v>
      </c>
      <c r="B40" t="s">
        <v>44</v>
      </c>
      <c r="C40" t="s">
        <v>7</v>
      </c>
      <c r="D40" s="1">
        <v>1</v>
      </c>
      <c r="E40" s="1">
        <v>0</v>
      </c>
      <c r="F40" t="s">
        <v>53</v>
      </c>
      <c r="G40" t="str">
        <f t="shared" si="0"/>
        <v>DIRECT</v>
      </c>
      <c r="H40">
        <f t="shared" si="1"/>
        <v>1</v>
      </c>
    </row>
    <row r="41" spans="1:8" x14ac:dyDescent="0.2">
      <c r="A41" t="s">
        <v>43</v>
      </c>
      <c r="B41" t="s">
        <v>44</v>
      </c>
      <c r="C41" t="s">
        <v>7</v>
      </c>
      <c r="D41" s="1">
        <v>0</v>
      </c>
      <c r="E41" s="1">
        <v>0</v>
      </c>
      <c r="F41" t="s">
        <v>54</v>
      </c>
      <c r="G41" t="str">
        <f t="shared" si="0"/>
        <v>DIRECT</v>
      </c>
      <c r="H41">
        <f t="shared" si="1"/>
        <v>0</v>
      </c>
    </row>
    <row r="42" spans="1:8" x14ac:dyDescent="0.2">
      <c r="A42" t="s">
        <v>55</v>
      </c>
      <c r="B42" t="s">
        <v>7</v>
      </c>
      <c r="C42" t="s">
        <v>56</v>
      </c>
      <c r="D42" s="1">
        <v>0</v>
      </c>
      <c r="E42" s="1">
        <v>2</v>
      </c>
      <c r="F42" t="s">
        <v>57</v>
      </c>
      <c r="G42" t="str">
        <f t="shared" si="0"/>
        <v>AGGRO</v>
      </c>
      <c r="H42">
        <f t="shared" si="1"/>
        <v>1</v>
      </c>
    </row>
    <row r="43" spans="1:8" x14ac:dyDescent="0.2">
      <c r="A43" t="s">
        <v>55</v>
      </c>
      <c r="B43" t="s">
        <v>7</v>
      </c>
      <c r="C43" t="s">
        <v>56</v>
      </c>
      <c r="D43" s="1">
        <v>0</v>
      </c>
      <c r="E43" s="1">
        <v>0</v>
      </c>
      <c r="F43" t="s">
        <v>58</v>
      </c>
      <c r="G43" t="str">
        <f t="shared" si="0"/>
        <v>AGGRO</v>
      </c>
      <c r="H43">
        <f t="shared" si="1"/>
        <v>0</v>
      </c>
    </row>
    <row r="44" spans="1:8" x14ac:dyDescent="0.2">
      <c r="A44" t="s">
        <v>55</v>
      </c>
      <c r="B44" t="s">
        <v>7</v>
      </c>
      <c r="C44" t="s">
        <v>56</v>
      </c>
      <c r="D44" s="1">
        <v>0</v>
      </c>
      <c r="E44" s="1">
        <v>1</v>
      </c>
      <c r="F44" t="s">
        <v>59</v>
      </c>
      <c r="G44" t="str">
        <f t="shared" si="0"/>
        <v>AGGRO</v>
      </c>
      <c r="H44">
        <f t="shared" si="1"/>
        <v>1</v>
      </c>
    </row>
    <row r="45" spans="1:8" x14ac:dyDescent="0.2">
      <c r="A45" t="s">
        <v>55</v>
      </c>
      <c r="B45" t="s">
        <v>7</v>
      </c>
      <c r="C45" t="s">
        <v>56</v>
      </c>
      <c r="D45" s="1">
        <v>0</v>
      </c>
      <c r="E45" s="1">
        <v>3</v>
      </c>
      <c r="F45" t="s">
        <v>60</v>
      </c>
      <c r="G45" t="str">
        <f t="shared" si="0"/>
        <v>AGGRO</v>
      </c>
      <c r="H45">
        <f t="shared" si="1"/>
        <v>1</v>
      </c>
    </row>
    <row r="46" spans="1:8" x14ac:dyDescent="0.2">
      <c r="A46" t="s">
        <v>55</v>
      </c>
      <c r="B46" t="s">
        <v>7</v>
      </c>
      <c r="C46" t="s">
        <v>56</v>
      </c>
      <c r="D46" s="1">
        <v>0</v>
      </c>
      <c r="E46" s="1">
        <v>0</v>
      </c>
      <c r="F46" t="s">
        <v>61</v>
      </c>
      <c r="G46" t="str">
        <f t="shared" si="0"/>
        <v>AGGRO</v>
      </c>
      <c r="H46">
        <f t="shared" si="1"/>
        <v>0</v>
      </c>
    </row>
    <row r="47" spans="1:8" x14ac:dyDescent="0.2">
      <c r="A47" t="s">
        <v>55</v>
      </c>
      <c r="B47" t="s">
        <v>56</v>
      </c>
      <c r="C47" t="s">
        <v>7</v>
      </c>
      <c r="D47" s="1">
        <v>1</v>
      </c>
      <c r="E47" s="1">
        <v>0</v>
      </c>
      <c r="F47" t="s">
        <v>62</v>
      </c>
      <c r="G47" t="str">
        <f t="shared" si="0"/>
        <v>AGGRO</v>
      </c>
      <c r="H47">
        <f t="shared" si="1"/>
        <v>1</v>
      </c>
    </row>
    <row r="48" spans="1:8" x14ac:dyDescent="0.2">
      <c r="A48" t="s">
        <v>55</v>
      </c>
      <c r="B48" t="s">
        <v>56</v>
      </c>
      <c r="C48" t="s">
        <v>7</v>
      </c>
      <c r="D48" s="1">
        <v>0</v>
      </c>
      <c r="E48" s="1">
        <v>0</v>
      </c>
      <c r="F48" t="s">
        <v>63</v>
      </c>
      <c r="G48" t="str">
        <f t="shared" si="0"/>
        <v>AGGRO</v>
      </c>
      <c r="H48">
        <f t="shared" si="1"/>
        <v>0</v>
      </c>
    </row>
    <row r="49" spans="1:8" x14ac:dyDescent="0.2">
      <c r="A49" t="s">
        <v>55</v>
      </c>
      <c r="B49" t="s">
        <v>56</v>
      </c>
      <c r="C49" t="s">
        <v>7</v>
      </c>
      <c r="D49" s="1">
        <v>0</v>
      </c>
      <c r="E49" s="1">
        <v>0</v>
      </c>
      <c r="F49" t="s">
        <v>64</v>
      </c>
      <c r="G49" t="str">
        <f t="shared" si="0"/>
        <v>AGGRO</v>
      </c>
      <c r="H49">
        <f t="shared" si="1"/>
        <v>0</v>
      </c>
    </row>
    <row r="50" spans="1:8" x14ac:dyDescent="0.2">
      <c r="A50" t="s">
        <v>55</v>
      </c>
      <c r="B50" t="s">
        <v>56</v>
      </c>
      <c r="C50" t="s">
        <v>7</v>
      </c>
      <c r="D50" s="1">
        <v>1</v>
      </c>
      <c r="E50" s="1">
        <v>0</v>
      </c>
      <c r="F50" t="s">
        <v>65</v>
      </c>
      <c r="G50" t="str">
        <f t="shared" si="0"/>
        <v>AGGRO</v>
      </c>
      <c r="H50">
        <f t="shared" si="1"/>
        <v>1</v>
      </c>
    </row>
    <row r="51" spans="1:8" x14ac:dyDescent="0.2">
      <c r="A51" t="s">
        <v>55</v>
      </c>
      <c r="B51" t="s">
        <v>56</v>
      </c>
      <c r="C51" t="s">
        <v>7</v>
      </c>
      <c r="D51" s="1">
        <v>0</v>
      </c>
      <c r="E51" s="1">
        <v>0</v>
      </c>
      <c r="F51" t="s">
        <v>66</v>
      </c>
      <c r="G51" t="str">
        <f t="shared" si="0"/>
        <v>AGGRO</v>
      </c>
      <c r="H51">
        <f t="shared" si="1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583F-66A7-314E-9BE0-2F04C0B7497C}">
  <dimension ref="A1:C6"/>
  <sheetViews>
    <sheetView tabSelected="1" workbookViewId="0">
      <selection activeCell="C13" sqref="C13"/>
    </sheetView>
  </sheetViews>
  <sheetFormatPr baseColWidth="10" defaultRowHeight="16" x14ac:dyDescent="0.2"/>
  <cols>
    <col min="1" max="1" width="9" bestFit="1" customWidth="1"/>
    <col min="2" max="2" width="8" bestFit="1" customWidth="1"/>
    <col min="3" max="3" width="8.1640625" bestFit="1" customWidth="1"/>
  </cols>
  <sheetData>
    <row r="1" spans="1:3" x14ac:dyDescent="0.2">
      <c r="A1" t="s">
        <v>69</v>
      </c>
      <c r="B1" t="s">
        <v>70</v>
      </c>
      <c r="C1" t="s">
        <v>71</v>
      </c>
    </row>
    <row r="2" spans="1:3" x14ac:dyDescent="0.2">
      <c r="A2" t="s">
        <v>8</v>
      </c>
      <c r="B2">
        <f>AVERAGEIF(Sheet1!G:G, "NOISE", Sheet1!H:H)</f>
        <v>0.2</v>
      </c>
      <c r="C2">
        <f>$B$2</f>
        <v>0.2</v>
      </c>
    </row>
    <row r="3" spans="1:3" x14ac:dyDescent="0.2">
      <c r="A3" t="s">
        <v>20</v>
      </c>
      <c r="B3">
        <f>AVERAGEIF(Sheet1!G:G, "DEFLOCK", Sheet1!H:H)</f>
        <v>0.1</v>
      </c>
      <c r="C3">
        <f t="shared" ref="C3:C6" si="0">$B$2</f>
        <v>0.2</v>
      </c>
    </row>
    <row r="4" spans="1:3" x14ac:dyDescent="0.2">
      <c r="A4" t="s">
        <v>32</v>
      </c>
      <c r="B4">
        <f>AVERAGEIF(Sheet1!G:G, "HIPRESS", Sheet1!H:H)</f>
        <v>0.3</v>
      </c>
      <c r="C4">
        <f t="shared" si="0"/>
        <v>0.2</v>
      </c>
    </row>
    <row r="5" spans="1:3" x14ac:dyDescent="0.2">
      <c r="A5" t="s">
        <v>44</v>
      </c>
      <c r="B5">
        <f>AVERAGEIF(Sheet1!G:G, "DIRECT", Sheet1!H:H)</f>
        <v>0.2</v>
      </c>
      <c r="C5">
        <f t="shared" si="0"/>
        <v>0.2</v>
      </c>
    </row>
    <row r="6" spans="1:3" x14ac:dyDescent="0.2">
      <c r="A6" t="s">
        <v>56</v>
      </c>
      <c r="B6">
        <f>AVERAGEIF(Sheet1!G:G, "AGGRO", Sheet1!H:H)</f>
        <v>0.5</v>
      </c>
      <c r="C6">
        <f t="shared" si="0"/>
        <v>0.2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Sheet1!strategy_benchmark_results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Sidi Bakari (student)</dc:creator>
  <cp:lastModifiedBy>Nathan Sidi Bakari (student)</cp:lastModifiedBy>
  <dcterms:created xsi:type="dcterms:W3CDTF">2026-01-20T08:52:44Z</dcterms:created>
  <dcterms:modified xsi:type="dcterms:W3CDTF">2026-01-20T13:14:46Z</dcterms:modified>
</cp:coreProperties>
</file>